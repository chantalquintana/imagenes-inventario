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6"/>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s="2" t="n">
        <v>0</v>
      </c>
      <c r="E2" s="2" t="n">
        <v>100000</v>
      </c>
      <c r="F2" t="n">
        <v>3</v>
      </c>
      <c r="G2" t="n">
        <v>3</v>
      </c>
      <c r="H2" s="2">
        <f>(E2-D2)*G2</f>
        <v/>
      </c>
      <c r="I2" s="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s="2" t="n">
        <v>0</v>
      </c>
      <c r="E3" s="2" t="n">
        <v>100000</v>
      </c>
      <c r="F3" t="n">
        <v>2</v>
      </c>
      <c r="G3" t="n">
        <v>40</v>
      </c>
      <c r="H3" s="2">
        <f>(E3-D3)*G3</f>
        <v/>
      </c>
      <c r="I3" s="2">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s="2" t="n">
        <v>0</v>
      </c>
      <c r="E4" s="2" t="n">
        <v>100000</v>
      </c>
      <c r="F4" t="n">
        <v>4</v>
      </c>
      <c r="G4" t="n">
        <v>4</v>
      </c>
      <c r="H4" s="2">
        <f>(E4-D4)*G4</f>
        <v/>
      </c>
      <c r="I4" s="2">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s="2" t="n">
        <v>0</v>
      </c>
      <c r="E5" s="2" t="n">
        <v>100000</v>
      </c>
      <c r="F5" t="n">
        <v>4</v>
      </c>
      <c r="G5" t="n">
        <v>31</v>
      </c>
      <c r="H5" s="2">
        <f>(E5-D5)*G5</f>
        <v/>
      </c>
      <c r="I5" s="2">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s="2" t="n">
        <v>35000</v>
      </c>
      <c r="E6" s="2" t="n">
        <v>200000</v>
      </c>
      <c r="F6" t="n">
        <v>10</v>
      </c>
      <c r="G6" t="n">
        <v>18</v>
      </c>
      <c r="H6" s="2">
        <f>(E6-D6)*G6</f>
        <v/>
      </c>
      <c r="I6" s="2">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s="2" t="n">
        <v>35000</v>
      </c>
      <c r="E7" s="2" t="n">
        <v>200000</v>
      </c>
      <c r="F7" t="n">
        <v>4</v>
      </c>
      <c r="G7" t="n">
        <v>4</v>
      </c>
      <c r="H7" s="2">
        <f>(E7-D7)*G7</f>
        <v/>
      </c>
      <c r="I7" s="2">
        <f>D7*F7</f>
        <v/>
      </c>
      <c r="J7" t="n">
        <v>140000</v>
      </c>
    </row>
    <row r="8">
      <c r="A8" t="inlineStr">
        <is>
          <t>0FAP5B</t>
        </is>
      </c>
      <c r="B8" t="inlineStr">
        <is>
          <t>Almohadilla + Chip Epson F170</t>
        </is>
      </c>
      <c r="C8" t="inlineStr">
        <is>
          <t>SC 23MB F100 F130 F160 F170</t>
        </is>
      </c>
      <c r="D8" s="2" t="n">
        <v>35000</v>
      </c>
      <c r="E8" s="2" t="n">
        <v>200000</v>
      </c>
      <c r="F8" t="n">
        <v>8</v>
      </c>
      <c r="G8" t="n">
        <v>19</v>
      </c>
      <c r="H8" s="2">
        <f>(E8-D8)*G8</f>
        <v/>
      </c>
      <c r="I8" s="2">
        <f>D8*F8</f>
        <v/>
      </c>
      <c r="J8" t="n">
        <v>280000</v>
      </c>
    </row>
    <row r="9">
      <c r="A9" t="inlineStr">
        <is>
          <t>XQG2DN</t>
        </is>
      </c>
      <c r="B9" t="inlineStr">
        <is>
          <t>Almohadilla + Chip Epson T6716</t>
        </is>
      </c>
      <c r="C9" t="inlineStr">
        <is>
          <t>WF C529 C579 C5210 C5290 C5298 C5299 C5710 C5790 C5799 M5298 M5299 M5799, ET8700 PX S380 S381 S880 S884</t>
        </is>
      </c>
      <c r="D9" s="2" t="n">
        <v>30000</v>
      </c>
      <c r="E9" s="2" t="n">
        <v>200000</v>
      </c>
      <c r="F9" t="n">
        <v>9</v>
      </c>
      <c r="G9" t="n">
        <v>1</v>
      </c>
      <c r="H9" s="2">
        <f>(E9-D9)*G9</f>
        <v/>
      </c>
      <c r="I9" s="2">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s="2" t="n">
        <v>35000</v>
      </c>
      <c r="E10" s="2" t="n">
        <v>200000</v>
      </c>
      <c r="F10" t="n">
        <v>10</v>
      </c>
      <c r="G10" t="n">
        <v>8</v>
      </c>
      <c r="H10" s="2">
        <f>(E10-D10)*G10</f>
        <v/>
      </c>
      <c r="I10" s="2">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s="2" t="n">
        <v>35000</v>
      </c>
      <c r="E11" s="2" t="n">
        <v>200000</v>
      </c>
      <c r="F11" t="n">
        <v>11</v>
      </c>
      <c r="G11" t="n">
        <v>9</v>
      </c>
      <c r="H11" s="2">
        <f>(E11-D11)*G11</f>
        <v/>
      </c>
      <c r="I11" s="2">
        <f>D11*F11</f>
        <v/>
      </c>
      <c r="J11" t="n">
        <v>385000</v>
      </c>
    </row>
    <row r="12">
      <c r="A12" t="inlineStr">
        <is>
          <t>L8SEY6</t>
        </is>
      </c>
      <c r="B12" t="inlineStr">
        <is>
          <t>Almohadilla+Chip Epson T6712</t>
        </is>
      </c>
      <c r="C12" t="inlineStr">
        <is>
          <t>WF 6090 6091 6093 6590 6593 8010 8090 8093 8510 8590 8591 8593</t>
        </is>
      </c>
      <c r="D12" s="2" t="n">
        <v>35000</v>
      </c>
      <c r="E12" s="2" t="n">
        <v>200000</v>
      </c>
      <c r="F12" t="n">
        <v>10</v>
      </c>
      <c r="G12" t="n">
        <v>0</v>
      </c>
      <c r="H12" s="2">
        <f>(E12-D12)*G12</f>
        <v/>
      </c>
      <c r="I12" s="2">
        <f>D12*F12</f>
        <v/>
      </c>
      <c r="J12" t="n">
        <v>350000</v>
      </c>
    </row>
    <row r="13">
      <c r="A13" t="inlineStr">
        <is>
          <t>LFBCJ8</t>
        </is>
      </c>
      <c r="B13" t="inlineStr">
        <is>
          <t>Buje de rodillo superior para Kyocera</t>
        </is>
      </c>
      <c r="C13" t="inlineStr">
        <is>
          <t>FS 1300 1110 1100 1024 1124 1128 1028 M2810 KM2820 ECOSYS M2030DN M2530 M2035 M2535 P2035 P2135</t>
        </is>
      </c>
      <c r="D13" s="2" t="n">
        <v>0</v>
      </c>
      <c r="E13" s="2" t="n">
        <v>80000</v>
      </c>
      <c r="F13" t="n">
        <v>5</v>
      </c>
      <c r="G13" t="n">
        <v>0</v>
      </c>
      <c r="H13" s="2">
        <f>(E13-D13)*G13</f>
        <v/>
      </c>
      <c r="I13" s="2">
        <f>D13*F13</f>
        <v/>
      </c>
      <c r="J13" t="n">
        <v>0</v>
      </c>
    </row>
    <row r="14">
      <c r="A14" t="inlineStr">
        <is>
          <t>QNCQC5</t>
        </is>
      </c>
      <c r="B14" t="inlineStr">
        <is>
          <t>Calibrador Vernier</t>
        </is>
      </c>
      <c r="C14" t="inlineStr">
        <is>
          <t>150mm.</t>
        </is>
      </c>
      <c r="D14" s="2" t="n">
        <v>0</v>
      </c>
      <c r="E14" s="2" t="n">
        <v>130000</v>
      </c>
      <c r="F14" t="n">
        <v>4</v>
      </c>
      <c r="G14" t="n">
        <v>4</v>
      </c>
      <c r="H14" s="2">
        <f>(E14-D14)*G14</f>
        <v/>
      </c>
      <c r="I14" s="2">
        <f>D14*F14</f>
        <v/>
      </c>
      <c r="J14" t="n">
        <v>0</v>
      </c>
    </row>
    <row r="15">
      <c r="A15" t="inlineStr">
        <is>
          <t>ARWXAB</t>
        </is>
      </c>
      <c r="B15" t="inlineStr">
        <is>
          <t>Chip contact para cartucho de tóner HP</t>
        </is>
      </c>
      <c r="C15" t="inlineStr">
        <is>
          <t>103A 103W 131A 133PN 108A 108W, MFP 136A 136NW 138P 138PN 138PNW</t>
        </is>
      </c>
      <c r="D15" s="2" t="n">
        <v>0</v>
      </c>
      <c r="E15" s="2" t="n">
        <v>70000</v>
      </c>
      <c r="F15" t="n">
        <v>7</v>
      </c>
      <c r="G15" t="n">
        <v>2</v>
      </c>
      <c r="H15" s="2">
        <f>(E15-D15)*G15</f>
        <v/>
      </c>
      <c r="I15" s="2">
        <f>D15*F15</f>
        <v/>
      </c>
      <c r="J15" t="n">
        <v>0</v>
      </c>
    </row>
    <row r="16">
      <c r="A16" t="inlineStr">
        <is>
          <t>93J10R</t>
        </is>
      </c>
      <c r="B16" t="inlineStr">
        <is>
          <t>Cilindro de imagen RICOH</t>
        </is>
      </c>
      <c r="C16" t="inlineStr">
        <is>
          <t>Aficio 1013 1515 MP201 MP301</t>
        </is>
      </c>
      <c r="D16" s="2" t="n">
        <v>0</v>
      </c>
      <c r="E16" s="2" t="n">
        <v>150000</v>
      </c>
      <c r="F16" t="n">
        <v>1</v>
      </c>
      <c r="G16" t="n">
        <v>0</v>
      </c>
      <c r="H16" s="2">
        <f>(E16-D16)*G16</f>
        <v/>
      </c>
      <c r="I16" s="2">
        <f>D16*F16</f>
        <v/>
      </c>
      <c r="J16" t="n">
        <v>0</v>
      </c>
    </row>
    <row r="17">
      <c r="A17" t="inlineStr">
        <is>
          <t>005TPO</t>
        </is>
      </c>
      <c r="B17" t="inlineStr">
        <is>
          <t>Cilindro de imagen Brother</t>
        </is>
      </c>
      <c r="C17" t="inlineStr">
        <is>
          <t>HL 5240 5250 5270 5280 5340 5350 5380, DCP 8060 8065 8080 8085 8460 8660, MFC 8480 8670 8860 8870 8890</t>
        </is>
      </c>
      <c r="D17" s="2" t="n">
        <v>40000</v>
      </c>
      <c r="E17" s="2" t="n">
        <v>80000</v>
      </c>
      <c r="F17" t="n">
        <v>0</v>
      </c>
      <c r="G17" t="n">
        <v>0</v>
      </c>
      <c r="H17" s="2">
        <f>(E17-D17)*G17</f>
        <v/>
      </c>
      <c r="I17" s="2">
        <f>D17*F17</f>
        <v/>
      </c>
      <c r="J17" t="n">
        <v>0</v>
      </c>
    </row>
    <row r="18">
      <c r="A18" t="inlineStr">
        <is>
          <t>OP871U</t>
        </is>
      </c>
      <c r="B18" t="inlineStr">
        <is>
          <t>Cabezal Epson</t>
        </is>
      </c>
      <c r="C18" t="inlineStr">
        <is>
          <t>TMU 220</t>
        </is>
      </c>
      <c r="D18" s="2" t="n">
        <v>100000</v>
      </c>
      <c r="E18" s="2" t="n">
        <v>280000</v>
      </c>
      <c r="F18" t="n">
        <v>1</v>
      </c>
      <c r="G18" t="n">
        <v>18</v>
      </c>
      <c r="H18" s="2">
        <f>(E18-D18)*G18</f>
        <v/>
      </c>
      <c r="I18" s="2">
        <f>D18*F18</f>
        <v/>
      </c>
      <c r="J18" t="n">
        <v>100000</v>
      </c>
    </row>
    <row r="19">
      <c r="A19" t="inlineStr">
        <is>
          <t>U2IK1P</t>
        </is>
      </c>
      <c r="B19" t="inlineStr">
        <is>
          <t>Cabezal Epson</t>
        </is>
      </c>
      <c r="C19" t="inlineStr">
        <is>
          <t>TM U950</t>
        </is>
      </c>
      <c r="D19" s="2" t="n">
        <v>0</v>
      </c>
      <c r="E19" s="2" t="n">
        <v>300000</v>
      </c>
      <c r="F19" t="n">
        <v>1</v>
      </c>
      <c r="G19" t="n">
        <v>7</v>
      </c>
      <c r="H19" s="2">
        <f>(E19-D19)*G19</f>
        <v/>
      </c>
      <c r="I19" s="2">
        <f>D19*F19</f>
        <v/>
      </c>
      <c r="J19" t="n">
        <v>0</v>
      </c>
    </row>
    <row r="20">
      <c r="A20" t="inlineStr">
        <is>
          <t>RFTFFD</t>
        </is>
      </c>
      <c r="B20" t="inlineStr">
        <is>
          <t>Cabezal Epson</t>
        </is>
      </c>
      <c r="C20" t="inlineStr">
        <is>
          <t>DFX 8000 8500</t>
        </is>
      </c>
      <c r="D20" s="2" t="n">
        <v>0</v>
      </c>
      <c r="E20" s="2" t="n">
        <v>1200000</v>
      </c>
      <c r="F20" t="n">
        <v>1</v>
      </c>
      <c r="G20" t="n">
        <v>0</v>
      </c>
      <c r="H20" s="2">
        <f>(E20-D20)*G20</f>
        <v/>
      </c>
      <c r="I20" s="2">
        <f>D20*F20</f>
        <v/>
      </c>
      <c r="J20" t="n">
        <v>0</v>
      </c>
    </row>
    <row r="21">
      <c r="A21" t="inlineStr">
        <is>
          <t>JXVR93</t>
        </is>
      </c>
      <c r="B21" t="inlineStr">
        <is>
          <t>Caja de Mantenimiento Epson T6712</t>
        </is>
      </c>
      <c r="C21" t="inlineStr">
        <is>
          <t>WF 6090 6091 6093 6590 6593 8010 8090 8093 8510 8590 8591 8593 R8590</t>
        </is>
      </c>
      <c r="D21" s="2" t="n">
        <v>0</v>
      </c>
      <c r="E21" s="2" t="n">
        <v>300000</v>
      </c>
      <c r="F21" t="n">
        <v>1</v>
      </c>
      <c r="G21" t="n">
        <v>5</v>
      </c>
      <c r="H21" s="2">
        <f>(E21-D21)*G21</f>
        <v/>
      </c>
      <c r="I21" s="2">
        <f>D21*F21</f>
        <v/>
      </c>
      <c r="J21" t="n">
        <v>0</v>
      </c>
    </row>
    <row r="22">
      <c r="A22" t="inlineStr">
        <is>
          <t>W2YVB8</t>
        </is>
      </c>
      <c r="B22" t="inlineStr">
        <is>
          <t>Caja de Mantenimiento Epson T6714</t>
        </is>
      </c>
      <c r="C22" t="inlineStr">
        <is>
          <t>WF C814 C860 C869 C878 C879 C8190 C8610 C8690</t>
        </is>
      </c>
      <c r="D22" s="2" t="n">
        <v>0</v>
      </c>
      <c r="E22" s="2" t="n">
        <v>300000</v>
      </c>
      <c r="F22" t="n">
        <v>3</v>
      </c>
      <c r="G22" t="n">
        <v>2</v>
      </c>
      <c r="H22" s="2">
        <f>(E22-D22)*G22</f>
        <v/>
      </c>
      <c r="I22" s="2">
        <f>D22*F22</f>
        <v/>
      </c>
      <c r="J22" t="n">
        <v>0</v>
      </c>
    </row>
    <row r="23">
      <c r="A23" t="inlineStr">
        <is>
          <t>1OHXOK</t>
        </is>
      </c>
      <c r="B23" t="inlineStr">
        <is>
          <t>Cinta Flex Epson</t>
        </is>
      </c>
      <c r="C23" t="inlineStr">
        <is>
          <t>TM U220</t>
        </is>
      </c>
      <c r="D23" s="2" t="n">
        <v>0</v>
      </c>
      <c r="E23" s="2" t="n">
        <v>50000</v>
      </c>
      <c r="F23" t="n">
        <v>0</v>
      </c>
      <c r="G23" t="n">
        <v>15</v>
      </c>
      <c r="H23" s="2">
        <f>(E23-D23)*G23</f>
        <v/>
      </c>
      <c r="I23" s="2">
        <f>D23*F23</f>
        <v/>
      </c>
      <c r="J23" t="n">
        <v>0</v>
      </c>
    </row>
    <row r="24">
      <c r="A24" t="inlineStr">
        <is>
          <t>YJZTXE</t>
        </is>
      </c>
      <c r="B24" t="inlineStr">
        <is>
          <t>Cinta Flex Epson</t>
        </is>
      </c>
      <c r="C24" t="inlineStr">
        <is>
          <t>LX 300+</t>
        </is>
      </c>
      <c r="D24" s="2" t="n">
        <v>0</v>
      </c>
      <c r="E24" s="2" t="n">
        <v>70000</v>
      </c>
      <c r="F24" t="n">
        <v>5</v>
      </c>
      <c r="G24" t="n">
        <v>0</v>
      </c>
      <c r="H24" s="2">
        <f>(E24-D24)*G24</f>
        <v/>
      </c>
      <c r="I24" s="2">
        <f>D24*F24</f>
        <v/>
      </c>
      <c r="J24" t="n">
        <v>0</v>
      </c>
    </row>
    <row r="25">
      <c r="A25" t="inlineStr">
        <is>
          <t>VB3KB3</t>
        </is>
      </c>
      <c r="B25" t="inlineStr">
        <is>
          <t>Cinta Flex Scanner Samsung</t>
        </is>
      </c>
      <c r="C25" t="inlineStr">
        <is>
          <t>CLX3300 CLX3305 M2070 M2876 M3370 M3375 M3870 M3875 M4070 M4075 SCX3400 SCX3405 SCX4833 SCX4835</t>
        </is>
      </c>
      <c r="D25" s="2" t="n">
        <v>0</v>
      </c>
      <c r="E25" s="2" t="n">
        <v>100000</v>
      </c>
      <c r="F25" t="n">
        <v>3</v>
      </c>
      <c r="G25" t="n">
        <v>0</v>
      </c>
      <c r="H25" s="2">
        <f>(E25-D25)*G25</f>
        <v/>
      </c>
      <c r="I25" s="2">
        <f>D25*F25</f>
        <v/>
      </c>
      <c r="J25" t="n">
        <v>0</v>
      </c>
    </row>
    <row r="26">
      <c r="A26" t="inlineStr">
        <is>
          <t>46SS1B</t>
        </is>
      </c>
      <c r="B26" t="inlineStr">
        <is>
          <t>Cinta Flex de sensor y cabezal Epson</t>
        </is>
      </c>
      <c r="C26" t="inlineStr">
        <is>
          <t>L1110 L1118 L1119 L1210 L1250  L3100 L3101 L3106 L3108 L3109 L3110 L3115 L3116 L3117 L3118 L3119 L3150 L3151 L3153 L3156 L3158 L3160 L3161 L3163 L3166  L3167 L3168 L3169 L3210 L3216 L3250 L3256 L5190 L5290</t>
        </is>
      </c>
      <c r="D26" s="2" t="n">
        <v>0</v>
      </c>
      <c r="E26" s="2" t="n">
        <v>150000</v>
      </c>
      <c r="F26" t="n">
        <v>0</v>
      </c>
      <c r="G26" t="n">
        <v>9</v>
      </c>
      <c r="H26" s="2">
        <f>(E26-D26)*G26</f>
        <v/>
      </c>
      <c r="I26" s="2">
        <f>D26*F26</f>
        <v/>
      </c>
      <c r="J26" t="n">
        <v>0</v>
      </c>
    </row>
    <row r="27">
      <c r="A27" t="inlineStr">
        <is>
          <t>AOF3JC</t>
        </is>
      </c>
      <c r="B27" t="inlineStr">
        <is>
          <t>Cinta Flex de cabezal para Epson</t>
        </is>
      </c>
      <c r="C27" t="inlineStr">
        <is>
          <t>R260 R360 R380 R390 RX580 RX590 R1390 R1400 R1410 R1430 1500w L1800 R1800 R1900 R2000 R2400 R2880</t>
        </is>
      </c>
      <c r="D27" s="2" t="n">
        <v>0</v>
      </c>
      <c r="E27" s="2" t="n">
        <v>100000</v>
      </c>
      <c r="F27" t="n">
        <v>4</v>
      </c>
      <c r="G27" t="n">
        <v>0</v>
      </c>
      <c r="H27" s="2">
        <f>(E27-D27)*G27</f>
        <v/>
      </c>
      <c r="I27" s="2">
        <f>D27*F27</f>
        <v/>
      </c>
      <c r="J27" t="n">
        <v>0</v>
      </c>
    </row>
    <row r="28">
      <c r="A28" t="inlineStr">
        <is>
          <t>XHNJ3H</t>
        </is>
      </c>
      <c r="B28" t="inlineStr">
        <is>
          <t>Chip Epson</t>
        </is>
      </c>
      <c r="C28" t="inlineStr">
        <is>
          <t>C9344</t>
        </is>
      </c>
      <c r="D28" s="2" t="n">
        <v>0</v>
      </c>
      <c r="E28" s="2" t="n">
        <v>100000</v>
      </c>
      <c r="F28" t="n">
        <v>29</v>
      </c>
      <c r="G28" t="n">
        <v>1</v>
      </c>
      <c r="H28" s="2">
        <f>(E28-D28)*G28</f>
        <v/>
      </c>
      <c r="I28" s="2">
        <f>D28*F28</f>
        <v/>
      </c>
      <c r="J28" t="n">
        <v>0</v>
      </c>
    </row>
    <row r="29">
      <c r="A29" t="inlineStr">
        <is>
          <t>AOQWST</t>
        </is>
      </c>
      <c r="B29" t="inlineStr">
        <is>
          <t>Chip Epson</t>
        </is>
      </c>
      <c r="C29" t="inlineStr">
        <is>
          <t>T04D1</t>
        </is>
      </c>
      <c r="D29" s="2" t="n">
        <v>0</v>
      </c>
      <c r="E29" s="2" t="n">
        <v>100000</v>
      </c>
      <c r="F29" t="n">
        <v>27</v>
      </c>
      <c r="G29" t="n">
        <v>2</v>
      </c>
      <c r="H29" s="2">
        <f>(E29-D29)*G29</f>
        <v/>
      </c>
      <c r="I29" s="2">
        <f>D29*F29</f>
        <v/>
      </c>
      <c r="J29" t="n">
        <v>0</v>
      </c>
    </row>
    <row r="30">
      <c r="A30" t="inlineStr">
        <is>
          <t>002SMV</t>
        </is>
      </c>
      <c r="B30" t="inlineStr">
        <is>
          <t>Chip Epson</t>
        </is>
      </c>
      <c r="C30" t="inlineStr">
        <is>
          <t>T6712</t>
        </is>
      </c>
      <c r="D30" s="2" t="n">
        <v>0</v>
      </c>
      <c r="E30" s="2" t="n">
        <v>100000</v>
      </c>
      <c r="F30" t="n">
        <v>10</v>
      </c>
      <c r="G30" t="n">
        <v>0</v>
      </c>
      <c r="H30" s="2">
        <f>(E30-D30)*G30</f>
        <v/>
      </c>
      <c r="I30" s="2">
        <f>D30*F30</f>
        <v/>
      </c>
      <c r="J30" t="n">
        <v>0</v>
      </c>
    </row>
    <row r="31">
      <c r="A31" t="inlineStr">
        <is>
          <t>ZL4VQJ</t>
        </is>
      </c>
      <c r="B31" t="inlineStr">
        <is>
          <t>Chip Epson</t>
        </is>
      </c>
      <c r="C31" t="inlineStr">
        <is>
          <t>F170</t>
        </is>
      </c>
      <c r="D31" s="2" t="n">
        <v>0</v>
      </c>
      <c r="E31" s="2" t="n">
        <v>100000</v>
      </c>
      <c r="F31" t="n">
        <v>18</v>
      </c>
      <c r="G31" t="n">
        <v>0</v>
      </c>
      <c r="H31" s="2">
        <f>(E31-D31)*G31</f>
        <v/>
      </c>
      <c r="I31" s="2">
        <f>D31*F31</f>
        <v/>
      </c>
      <c r="J31" t="n">
        <v>0</v>
      </c>
    </row>
    <row r="32">
      <c r="A32" t="inlineStr">
        <is>
          <t>HGP1Q2</t>
        </is>
      </c>
      <c r="B32" t="inlineStr">
        <is>
          <t>Chip Epson</t>
        </is>
      </c>
      <c r="C32" t="inlineStr">
        <is>
          <t>C9345</t>
        </is>
      </c>
      <c r="D32" s="2" t="n">
        <v>0</v>
      </c>
      <c r="E32" s="2" t="n">
        <v>100000</v>
      </c>
      <c r="F32" t="n">
        <v>10</v>
      </c>
      <c r="G32" t="n">
        <v>0</v>
      </c>
      <c r="H32" s="2">
        <f>(E32-D32)*G32</f>
        <v/>
      </c>
      <c r="I32" s="2">
        <f>D32*F32</f>
        <v/>
      </c>
      <c r="J32" t="n">
        <v>0</v>
      </c>
    </row>
    <row r="33">
      <c r="A33" t="inlineStr">
        <is>
          <t>LJNL6J</t>
        </is>
      </c>
      <c r="B33" t="inlineStr">
        <is>
          <t>Drum DL-410 para Tambor de Unidad de imagen Pantum</t>
        </is>
      </c>
      <c r="C33" t="inlineStr">
        <is>
          <t>P3010DW P3300DN P3300DW M6700DW M6800FDW M7100DN M7200FDW M7300FDW M7300FDN</t>
        </is>
      </c>
      <c r="D33" s="2" t="n">
        <v>0</v>
      </c>
      <c r="E33" s="2" t="n">
        <v>100000</v>
      </c>
      <c r="F33" t="n">
        <v>9</v>
      </c>
      <c r="G33" t="n">
        <v>0</v>
      </c>
      <c r="H33" s="2">
        <f>(E33-D33)*G33</f>
        <v/>
      </c>
      <c r="I33" s="2">
        <f>D33*F33</f>
        <v/>
      </c>
      <c r="J33" t="n">
        <v>0</v>
      </c>
    </row>
    <row r="34">
      <c r="A34" t="inlineStr">
        <is>
          <t>UAYYDQ</t>
        </is>
      </c>
      <c r="B34" t="inlineStr">
        <is>
          <t>DMD para proyector 8060-6039B</t>
        </is>
      </c>
      <c r="C34" t="inlineStr">
        <is>
          <t>Benq MP515 MP515ST NEC NP115 OPTOMA ES526</t>
        </is>
      </c>
      <c r="D34" s="2" t="n">
        <v>200000</v>
      </c>
      <c r="E34" s="2" t="n">
        <v>400000</v>
      </c>
      <c r="F34" t="n">
        <v>1</v>
      </c>
      <c r="G34" t="n">
        <v>1</v>
      </c>
      <c r="H34" s="2">
        <f>(E34-D34)*G34</f>
        <v/>
      </c>
      <c r="I34" s="2">
        <f>D34*F34</f>
        <v/>
      </c>
      <c r="J34" t="n">
        <v>200000</v>
      </c>
    </row>
    <row r="35">
      <c r="A35" t="inlineStr">
        <is>
          <t>CJVMIV</t>
        </is>
      </c>
      <c r="B35" t="inlineStr">
        <is>
          <t>Correa de transporte Epson</t>
        </is>
      </c>
      <c r="C35" t="inlineStr">
        <is>
          <t>TM U950</t>
        </is>
      </c>
      <c r="D35" s="2" t="n">
        <v>0</v>
      </c>
      <c r="E35" s="2" t="n">
        <v>100000</v>
      </c>
      <c r="F35" t="n">
        <v>7</v>
      </c>
      <c r="G35" t="n">
        <v>3</v>
      </c>
      <c r="H35" s="2">
        <f>(E35-D35)*G35</f>
        <v/>
      </c>
      <c r="I35" s="2">
        <f>D35*F35</f>
        <v/>
      </c>
      <c r="J35" t="n">
        <v>0</v>
      </c>
    </row>
    <row r="36">
      <c r="A36" t="inlineStr">
        <is>
          <t>Y6I8Q7</t>
        </is>
      </c>
      <c r="B36" t="inlineStr">
        <is>
          <t>Correa de plotter  HP DesignJet</t>
        </is>
      </c>
      <c r="C36" t="inlineStr">
        <is>
          <t>500 510 800 815 de 24"</t>
        </is>
      </c>
      <c r="D36" s="2" t="n">
        <v>0</v>
      </c>
      <c r="E36" s="2" t="n">
        <v>350000</v>
      </c>
      <c r="F36" t="n">
        <v>3</v>
      </c>
      <c r="G36" t="n">
        <v>0</v>
      </c>
      <c r="H36" s="2">
        <f>(E36-D36)*G36</f>
        <v/>
      </c>
      <c r="I36" s="2">
        <f>D36*F36</f>
        <v/>
      </c>
      <c r="J36" t="n">
        <v>0</v>
      </c>
    </row>
    <row r="37">
      <c r="A37" t="inlineStr">
        <is>
          <t>O3F6AE</t>
        </is>
      </c>
      <c r="B37" t="inlineStr">
        <is>
          <t>Correa de plotter HP DesignJet</t>
        </is>
      </c>
      <c r="C37" t="inlineStr">
        <is>
          <t>500 510 800 815 de 42"</t>
        </is>
      </c>
      <c r="D37" s="2" t="n">
        <v>0</v>
      </c>
      <c r="E37" s="2" t="n">
        <v>350000</v>
      </c>
      <c r="F37" t="n">
        <v>2</v>
      </c>
      <c r="G37" t="n">
        <v>0</v>
      </c>
      <c r="H37" s="2">
        <f>(E37-D37)*G37</f>
        <v/>
      </c>
      <c r="I37" s="2">
        <f>D37*F37</f>
        <v/>
      </c>
      <c r="J37" t="n">
        <v>0</v>
      </c>
    </row>
    <row r="38">
      <c r="A38" t="inlineStr">
        <is>
          <t>USC2X3</t>
        </is>
      </c>
      <c r="B38" t="inlineStr">
        <is>
          <t>Cuchillo de limpieza Ricoh</t>
        </is>
      </c>
      <c r="C38" t="inlineStr">
        <is>
          <t>Aficio 120 171 1013 1515 MP161 MP201 MP301</t>
        </is>
      </c>
      <c r="D38" s="2" t="n">
        <v>0</v>
      </c>
      <c r="E38" s="2" t="n">
        <v>100000</v>
      </c>
      <c r="F38" t="n">
        <v>1</v>
      </c>
      <c r="G38" t="n">
        <v>0</v>
      </c>
      <c r="H38" s="2">
        <f>(E38-D38)*G38</f>
        <v/>
      </c>
      <c r="I38" s="2">
        <f>D38*F38</f>
        <v/>
      </c>
      <c r="J38" t="n">
        <v>0</v>
      </c>
    </row>
    <row r="39">
      <c r="A39" t="inlineStr">
        <is>
          <t>9I7AQO</t>
        </is>
      </c>
      <c r="B39" t="inlineStr">
        <is>
          <t>Cuchilla de limpieza Canon</t>
        </is>
      </c>
      <c r="C39" t="inlineStr">
        <is>
          <t>IR 1018 1019 1022 1023 1024 1025 1430 1435</t>
        </is>
      </c>
      <c r="D39" s="2" t="n">
        <v>0</v>
      </c>
      <c r="E39" s="2" t="n">
        <v>100000</v>
      </c>
      <c r="F39" t="n">
        <v>1</v>
      </c>
      <c r="G39" t="n">
        <v>0</v>
      </c>
      <c r="H39" s="2">
        <f>(E39-D39)*G39</f>
        <v/>
      </c>
      <c r="I39" s="2">
        <f>D39*F39</f>
        <v/>
      </c>
      <c r="J39" t="n">
        <v>0</v>
      </c>
    </row>
    <row r="40">
      <c r="A40" t="inlineStr">
        <is>
          <t>HFTRE4</t>
        </is>
      </c>
      <c r="B40" t="inlineStr">
        <is>
          <t>Cuchilla de limpieza</t>
        </is>
      </c>
      <c r="C40" t="inlineStr">
        <is>
          <t>TS3525</t>
        </is>
      </c>
      <c r="D40" s="2" t="n">
        <v>0</v>
      </c>
      <c r="E40" s="2" t="n">
        <v>100000</v>
      </c>
      <c r="F40" t="n">
        <v>1</v>
      </c>
      <c r="G40" t="n">
        <v>0</v>
      </c>
      <c r="H40" s="2">
        <f>(E40-D40)*G40</f>
        <v/>
      </c>
      <c r="I40" s="2">
        <f>D40*F40</f>
        <v/>
      </c>
      <c r="J40" t="n">
        <v>0</v>
      </c>
    </row>
    <row r="41">
      <c r="A41" t="inlineStr">
        <is>
          <t>V8F7VA</t>
        </is>
      </c>
      <c r="B41" t="inlineStr">
        <is>
          <t>Cuchilla de limpieza Kyocera</t>
        </is>
      </c>
      <c r="C41" t="inlineStr">
        <is>
          <t>KM 1500 1815 1820, FS 1000 1010 1018 1020 1030 1050 1118</t>
        </is>
      </c>
      <c r="D41" s="2" t="n">
        <v>0</v>
      </c>
      <c r="E41" s="2" t="n">
        <v>100000</v>
      </c>
      <c r="F41" t="n">
        <v>1</v>
      </c>
      <c r="G41" t="n">
        <v>0</v>
      </c>
      <c r="H41" s="2">
        <f>(E41-D41)*G41</f>
        <v/>
      </c>
      <c r="I41" s="2">
        <f>D41*F41</f>
        <v/>
      </c>
      <c r="J41" t="n">
        <v>0</v>
      </c>
    </row>
    <row r="42">
      <c r="A42" t="inlineStr">
        <is>
          <t>J0VX6D</t>
        </is>
      </c>
      <c r="B42" t="inlineStr">
        <is>
          <t>Cuchilla de limpieza Ricoh</t>
        </is>
      </c>
      <c r="C42" t="inlineStr">
        <is>
          <t>Aficio 220 270 1022 1027 1032 2022 2027 2032 3025 3030 3350, MP2510 MP2550, MP2553 MP2851 MP2852 MP3010 MP3053 MP3350 MP3351 MP3352 MP3353</t>
        </is>
      </c>
      <c r="D42" s="2" t="n">
        <v>0</v>
      </c>
      <c r="E42" s="2" t="n">
        <v>100000</v>
      </c>
      <c r="F42" t="n">
        <v>1</v>
      </c>
      <c r="G42" t="n">
        <v>0</v>
      </c>
      <c r="H42" s="2">
        <f>(E42-D42)*G42</f>
        <v/>
      </c>
      <c r="I42" s="2">
        <f>D42*F42</f>
        <v/>
      </c>
      <c r="J42" t="n">
        <v>0</v>
      </c>
    </row>
    <row r="43">
      <c r="A43" t="inlineStr">
        <is>
          <t>16ZHA7</t>
        </is>
      </c>
      <c r="B43" t="inlineStr">
        <is>
          <t>Cuchilla de limpieza Ricoh</t>
        </is>
      </c>
      <c r="C43" t="inlineStr">
        <is>
          <t>Aficio  220 270 1015 1018 1113 2015 2016 2018 2020 MP1500 MP1600 MP1900 MP2000 MP2001 MP2500 MP2501</t>
        </is>
      </c>
      <c r="D43" s="2" t="n">
        <v>0</v>
      </c>
      <c r="E43" s="2" t="n">
        <v>100000</v>
      </c>
      <c r="F43" t="n">
        <v>1</v>
      </c>
      <c r="G43" t="n">
        <v>0</v>
      </c>
      <c r="H43" s="2">
        <f>(E43-D43)*G43</f>
        <v/>
      </c>
      <c r="I43" s="2">
        <f>D43*F43</f>
        <v/>
      </c>
      <c r="J43" t="n">
        <v>0</v>
      </c>
    </row>
    <row r="44">
      <c r="A44" t="inlineStr">
        <is>
          <t>XKXDN3</t>
        </is>
      </c>
      <c r="B44" t="inlineStr">
        <is>
          <t>Cartucho Damper Epson</t>
        </is>
      </c>
      <c r="C44" t="inlineStr">
        <is>
          <t>L1110 L1210 L1250 L3100 L3101 L3110 L3150 L3151 L3160 L3210 L3250 L4150 L4160 L4167 L4260 L5190 L5290 L5590 L6160 L6161 L6170 L6171 L6190 L6191 L6290 ET3750 ET4750</t>
        </is>
      </c>
      <c r="D44" s="2" t="n">
        <v>25000</v>
      </c>
      <c r="E44" s="2" t="n">
        <v>75000</v>
      </c>
      <c r="F44" t="n">
        <v>20</v>
      </c>
      <c r="G44" t="n">
        <v>30</v>
      </c>
      <c r="H44" s="2">
        <f>(E44-D44)*G44</f>
        <v/>
      </c>
      <c r="I44" s="2">
        <f>D44*F44</f>
        <v/>
      </c>
      <c r="J44" t="n">
        <v>500000</v>
      </c>
    </row>
    <row r="45">
      <c r="A45" t="inlineStr">
        <is>
          <t>JH55X7</t>
        </is>
      </c>
      <c r="B45" t="inlineStr">
        <is>
          <t>Estación o plancha para soldar y desoldar LED TV</t>
        </is>
      </c>
      <c r="D45" s="2" t="n">
        <v>0</v>
      </c>
      <c r="E45" s="2" t="n">
        <v>120000</v>
      </c>
      <c r="F45" t="n">
        <v>3</v>
      </c>
      <c r="G45" t="n">
        <v>4</v>
      </c>
      <c r="H45" s="2">
        <f>(E45-D45)*G45</f>
        <v/>
      </c>
      <c r="I45" s="2">
        <f>D45*F45</f>
        <v/>
      </c>
      <c r="J45" t="n">
        <v>0</v>
      </c>
    </row>
    <row r="46">
      <c r="A46" t="inlineStr">
        <is>
          <t>STLS4V</t>
        </is>
      </c>
      <c r="B46" t="inlineStr">
        <is>
          <t>Extractor de abolladuras</t>
        </is>
      </c>
      <c r="D46" s="2" t="n">
        <v>22000</v>
      </c>
      <c r="E46" s="2" t="n">
        <v>75000</v>
      </c>
      <c r="F46" t="n">
        <v>1</v>
      </c>
      <c r="G46" t="n">
        <v>22</v>
      </c>
      <c r="H46" s="2">
        <f>(E46-D46)*G46</f>
        <v/>
      </c>
      <c r="I46" s="2">
        <f>D46*F46</f>
        <v/>
      </c>
      <c r="J46" t="n">
        <v>22000</v>
      </c>
    </row>
    <row r="47">
      <c r="A47" t="inlineStr">
        <is>
          <t>60OWJY</t>
        </is>
      </c>
      <c r="B47" t="inlineStr">
        <is>
          <t>Engranaje de cinta Epson</t>
        </is>
      </c>
      <c r="C47" t="inlineStr">
        <is>
          <t>TM U220</t>
        </is>
      </c>
      <c r="D47" s="2" t="n">
        <v>0</v>
      </c>
      <c r="E47" s="2" t="n">
        <v>100000</v>
      </c>
      <c r="F47" t="n">
        <v>1</v>
      </c>
      <c r="G47" t="n">
        <v>1</v>
      </c>
      <c r="H47" s="2">
        <f>(E47-D47)*G47</f>
        <v/>
      </c>
      <c r="I47" s="2">
        <f>D47*F47</f>
        <v/>
      </c>
      <c r="J47" t="n">
        <v>0</v>
      </c>
    </row>
    <row r="48">
      <c r="A48" t="inlineStr">
        <is>
          <t>7Y9H5R</t>
        </is>
      </c>
      <c r="B48" t="inlineStr">
        <is>
          <t>Kit de engranajes de alimentación de papel Epson</t>
        </is>
      </c>
      <c r="C48" t="inlineStr">
        <is>
          <t>TM U220</t>
        </is>
      </c>
      <c r="D48" s="2" t="n">
        <v>0</v>
      </c>
      <c r="E48" s="2" t="n">
        <v>100000</v>
      </c>
      <c r="F48" t="n">
        <v>5</v>
      </c>
      <c r="G48" t="n">
        <v>1</v>
      </c>
      <c r="H48" s="2">
        <f>(E48-D48)*G48</f>
        <v/>
      </c>
      <c r="I48" s="2">
        <f>D48*F48</f>
        <v/>
      </c>
      <c r="J48" t="n">
        <v>0</v>
      </c>
    </row>
    <row r="49">
      <c r="A49" t="inlineStr">
        <is>
          <t>WMC70K</t>
        </is>
      </c>
      <c r="B49" t="inlineStr">
        <is>
          <t>Kit de engranajes Premium 411018 RICOH</t>
        </is>
      </c>
      <c r="C49" t="inlineStr">
        <is>
          <t>Aficio 1022 1027 1032 2022 2027 2032 3030 3025 3350 3351 2550 2510 2851 2852 Savin 7025</t>
        </is>
      </c>
      <c r="D49" s="2" t="n">
        <v>0</v>
      </c>
      <c r="E49" s="2" t="n">
        <v>80000</v>
      </c>
      <c r="F49" t="n">
        <v>8</v>
      </c>
      <c r="G49" t="n">
        <v>0</v>
      </c>
      <c r="H49" s="2">
        <f>(E49-D49)*G49</f>
        <v/>
      </c>
      <c r="I49" s="2">
        <f>D49*F49</f>
        <v/>
      </c>
      <c r="J49" t="n">
        <v>0</v>
      </c>
    </row>
    <row r="50">
      <c r="A50" t="inlineStr">
        <is>
          <t>XDR4AZ</t>
        </is>
      </c>
      <c r="B50" t="inlineStr">
        <is>
          <t>Kit de engranajes para unidad de revelado RICOH</t>
        </is>
      </c>
      <c r="C50" t="inlineStr">
        <is>
          <t>Aficio 1515, MP161 MP171 MP175 MP201 MP301</t>
        </is>
      </c>
      <c r="D50" s="2" t="n">
        <v>0</v>
      </c>
      <c r="E50" s="2" t="n">
        <v>80000</v>
      </c>
      <c r="F50" t="n">
        <v>9</v>
      </c>
      <c r="G50" t="n">
        <v>0</v>
      </c>
      <c r="H50" s="2">
        <f>(E50-D50)*G50</f>
        <v/>
      </c>
      <c r="I50" s="2">
        <f>D50*F50</f>
        <v/>
      </c>
      <c r="J50" t="n">
        <v>0</v>
      </c>
    </row>
    <row r="51">
      <c r="A51" t="inlineStr">
        <is>
          <t>O0PI5Q</t>
        </is>
      </c>
      <c r="B51" t="inlineStr">
        <is>
          <t>Engranaje de cobre para cuchilla de Plotter HP</t>
        </is>
      </c>
      <c r="C51" t="inlineStr">
        <is>
          <t>T120 T125 T130 T210 T250 T230 T520 T525 T530 T630 T650 T730 T830</t>
        </is>
      </c>
      <c r="D51" s="2" t="n">
        <v>0</v>
      </c>
      <c r="E51" s="2" t="n">
        <v>250000</v>
      </c>
      <c r="F51" t="n">
        <v>7</v>
      </c>
      <c r="G51" t="n">
        <v>5</v>
      </c>
      <c r="H51" s="2">
        <f>(E51-D51)*G51</f>
        <v/>
      </c>
      <c r="I51" s="2">
        <f>D51*F51</f>
        <v/>
      </c>
      <c r="J51" t="n">
        <v>0</v>
      </c>
    </row>
    <row r="52">
      <c r="A52" t="inlineStr">
        <is>
          <t>IOLCNV</t>
        </is>
      </c>
      <c r="B52" t="inlineStr">
        <is>
          <t>Kit de engranajes de embrague para bandeja Epson</t>
        </is>
      </c>
      <c r="C52" t="inlineStr">
        <is>
          <t>L3100 L3101 L3110 L3115 L3116 L3150 L3151 L3156 L3158 L3160 L4150 L4160 L4165 L5190 L6178 L6198</t>
        </is>
      </c>
      <c r="D52" s="2" t="n">
        <v>0</v>
      </c>
      <c r="E52" s="2" t="n">
        <v>100000</v>
      </c>
      <c r="F52" t="n">
        <v>5</v>
      </c>
      <c r="G52" t="n">
        <v>4</v>
      </c>
      <c r="H52" s="2">
        <f>(E52-D52)*G52</f>
        <v/>
      </c>
      <c r="I52" s="2">
        <f>D52*F52</f>
        <v/>
      </c>
      <c r="J52" t="n">
        <v>0</v>
      </c>
    </row>
    <row r="53">
      <c r="A53" t="inlineStr">
        <is>
          <t>DMXXFA</t>
        </is>
      </c>
      <c r="B53" t="inlineStr">
        <is>
          <t>Engranaje de rodillo de fusor superior para Samsung</t>
        </is>
      </c>
      <c r="C53" t="inlineStr">
        <is>
          <t>SCX 3200 3205 4016 4116 4200 4216 4300 4316 4321 4521 SF560, ML 1610 1640 1710 1740 1860</t>
        </is>
      </c>
      <c r="D53" s="2" t="n">
        <v>0</v>
      </c>
      <c r="E53" s="2" t="n">
        <v>120000</v>
      </c>
      <c r="F53" t="n">
        <v>8</v>
      </c>
      <c r="G53" t="n">
        <v>0</v>
      </c>
      <c r="H53" s="2">
        <f>(E53-D53)*G53</f>
        <v/>
      </c>
      <c r="I53" s="2">
        <f>D53*F53</f>
        <v/>
      </c>
      <c r="J53" t="n">
        <v>0</v>
      </c>
    </row>
    <row r="54">
      <c r="A54" t="inlineStr">
        <is>
          <t>ZYW2LG</t>
        </is>
      </c>
      <c r="B54" t="inlineStr">
        <is>
          <t>Kit de engranajes de acople de fusor HP</t>
        </is>
      </c>
      <c r="C54" t="inlineStr">
        <is>
          <t>LaserJet 5100/5200</t>
        </is>
      </c>
      <c r="D54" s="2" t="n">
        <v>0</v>
      </c>
      <c r="E54" s="2" t="n">
        <v>180000</v>
      </c>
      <c r="F54" t="n">
        <v>2</v>
      </c>
      <c r="G54" t="n">
        <v>0</v>
      </c>
      <c r="H54" s="2">
        <f>(E54-D54)*G54</f>
        <v/>
      </c>
      <c r="I54" s="2">
        <f>D54*F54</f>
        <v/>
      </c>
      <c r="J54" t="n">
        <v>0</v>
      </c>
    </row>
    <row r="55">
      <c r="A55" t="inlineStr">
        <is>
          <t>H8XIZ4</t>
        </is>
      </c>
      <c r="B55" t="inlineStr">
        <is>
          <t>Engranaje de acople de fusor de eje oscilante para HP</t>
        </is>
      </c>
      <c r="C55" t="inlineStr">
        <is>
          <t>Pro 400 M401 M425</t>
        </is>
      </c>
      <c r="D55" s="2" t="n">
        <v>0</v>
      </c>
      <c r="E55" s="2" t="n">
        <v>150000</v>
      </c>
      <c r="F55" t="n">
        <v>1</v>
      </c>
      <c r="G55" t="n">
        <v>0</v>
      </c>
      <c r="H55" s="2">
        <f>(E55-D55)*G55</f>
        <v/>
      </c>
      <c r="I55" s="2">
        <f>D55*F55</f>
        <v/>
      </c>
      <c r="J55" t="n">
        <v>0</v>
      </c>
    </row>
    <row r="56">
      <c r="A56" t="inlineStr">
        <is>
          <t>D3G7WT</t>
        </is>
      </c>
      <c r="B56" t="inlineStr">
        <is>
          <t>Engranaje de combinación Epson</t>
        </is>
      </c>
      <c r="C56" t="inlineStr">
        <is>
          <t>LX 300+</t>
        </is>
      </c>
      <c r="D56" s="2" t="n">
        <v>0</v>
      </c>
      <c r="E56" s="2" t="n">
        <v>50000</v>
      </c>
      <c r="F56" t="n">
        <v>9</v>
      </c>
      <c r="G56" t="n">
        <v>0</v>
      </c>
      <c r="H56" s="2">
        <f>(E56-D56)*G56</f>
        <v/>
      </c>
      <c r="I56" s="2">
        <f>D56*F56</f>
        <v/>
      </c>
      <c r="J56" t="n">
        <v>0</v>
      </c>
    </row>
    <row r="57">
      <c r="A57" t="inlineStr">
        <is>
          <t>5EJY4Q</t>
        </is>
      </c>
      <c r="B57" t="inlineStr">
        <is>
          <t>Kit de engranajes de fusor Ricoh</t>
        </is>
      </c>
      <c r="C57" t="inlineStr">
        <is>
          <t>MP C2003 C2004 C2503 C3003 C3503 C4503 C5503 C6003</t>
        </is>
      </c>
      <c r="D57" s="2" t="n">
        <v>63000</v>
      </c>
      <c r="E57" s="2" t="n">
        <v>150000</v>
      </c>
      <c r="F57" t="n">
        <v>2</v>
      </c>
      <c r="G57" t="n">
        <v>1</v>
      </c>
      <c r="H57" s="2">
        <f>(E57-D57)*G57</f>
        <v/>
      </c>
      <c r="I57" s="2">
        <f>D57*F57</f>
        <v/>
      </c>
      <c r="J57" t="n">
        <v>126000</v>
      </c>
    </row>
    <row r="58">
      <c r="A58" t="inlineStr">
        <is>
          <t>8N43SX</t>
        </is>
      </c>
      <c r="B58" t="inlineStr">
        <is>
          <t>Engranje de transmición del fusor HP</t>
        </is>
      </c>
      <c r="C58" t="inlineStr">
        <is>
          <t>P1505 P1506 P1566 P1606 M1120 M1522 M1536</t>
        </is>
      </c>
      <c r="D58" s="2" t="n">
        <v>20000</v>
      </c>
      <c r="E58" s="2" t="n">
        <v>100000</v>
      </c>
      <c r="F58" t="n">
        <v>4</v>
      </c>
      <c r="G58" t="n">
        <v>0</v>
      </c>
      <c r="H58" s="2">
        <f>(E58-D58)*G58</f>
        <v/>
      </c>
      <c r="I58" s="2">
        <f>D58*F58</f>
        <v/>
      </c>
      <c r="J58" t="n">
        <v>80000</v>
      </c>
    </row>
    <row r="59">
      <c r="A59" t="inlineStr">
        <is>
          <t>EVDFZI</t>
        </is>
      </c>
      <c r="B59" t="inlineStr">
        <is>
          <t>Fusible de reinicio de tambor</t>
        </is>
      </c>
      <c r="C59" t="inlineStr">
        <is>
          <t>OKI C3300 C3400 C3600 C5500 C5600 C5650 C5700 C5750 C5800 C5850 5900 C5950 C8600 C8800 C9600 C9650 C9800 C9850 B332 B363 B401 B411 B431 B432 MB441 MB451 MB461 MB491</t>
        </is>
      </c>
      <c r="D59" s="2" t="n">
        <v>10000</v>
      </c>
      <c r="E59" s="2" t="n">
        <v>50000</v>
      </c>
      <c r="F59" t="n">
        <v>19</v>
      </c>
      <c r="G59" t="n">
        <v>0</v>
      </c>
      <c r="H59" s="2">
        <f>(E59-D59)*G59</f>
        <v/>
      </c>
      <c r="I59" s="2">
        <f>D59*F59</f>
        <v/>
      </c>
      <c r="J59" t="n">
        <v>190000</v>
      </c>
    </row>
    <row r="60">
      <c r="A60" t="inlineStr">
        <is>
          <t>0OMKJG</t>
        </is>
      </c>
      <c r="B60" t="inlineStr">
        <is>
          <t>Film de fusor HP</t>
        </is>
      </c>
      <c r="C60" t="inlineStr">
        <is>
          <t>P4010 P4014 P4015 P4510 P4515 M4555 M600 M601 M602 M603 M604 M605 M606 M630</t>
        </is>
      </c>
      <c r="D60" s="2" t="n">
        <v>0</v>
      </c>
      <c r="E60" s="2" t="n">
        <v>220000</v>
      </c>
      <c r="F60" t="n">
        <v>3</v>
      </c>
      <c r="G60" t="n">
        <v>0</v>
      </c>
      <c r="H60" s="2">
        <f>(E60-D60)*G60</f>
        <v/>
      </c>
      <c r="I60" s="2">
        <f>D60*F60</f>
        <v/>
      </c>
      <c r="J60" t="n">
        <v>0</v>
      </c>
    </row>
    <row r="61">
      <c r="A61" t="inlineStr">
        <is>
          <t>8OJEKV</t>
        </is>
      </c>
      <c r="B61" t="inlineStr">
        <is>
          <t>Film de fusor Brother</t>
        </is>
      </c>
      <c r="C61" t="inlineStr">
        <is>
          <t>HL 5440 5445 5450 5452 5455 5470 5472 5580 5585 5590 5595 6180 6182 6200 6300 7810, DCP 8110 8112 8150 8152 8155 8510, MFC 8510 8512 8515 8520 8710 8712 8910 8912 8950 8952</t>
        </is>
      </c>
      <c r="D61" s="2" t="n">
        <v>100000</v>
      </c>
      <c r="E61" s="2" t="n">
        <v>200000</v>
      </c>
      <c r="F61" t="n">
        <v>3</v>
      </c>
      <c r="G61" t="n">
        <v>1</v>
      </c>
      <c r="H61" s="2">
        <f>(E61-D61)*G61</f>
        <v/>
      </c>
      <c r="I61" s="2">
        <f>D61*F61</f>
        <v/>
      </c>
      <c r="J61" t="n">
        <v>300000</v>
      </c>
    </row>
    <row r="62">
      <c r="A62" t="inlineStr">
        <is>
          <t>SSPC8D</t>
        </is>
      </c>
      <c r="B62" t="inlineStr">
        <is>
          <t>Film de fusor HP/CANON</t>
        </is>
      </c>
      <c r="C62" t="inlineStr">
        <is>
          <t>HP LaserJet 5000 5200  M5025 M5035 Pro M435 M701 M706, Canon LBP 840 870 910 1610 1810 1820 3500 3900 3950, Canon Image Class 2200 2210 2220 LP3000 LP3010</t>
        </is>
      </c>
      <c r="D62" s="2" t="n">
        <v>0</v>
      </c>
      <c r="E62" s="2" t="n">
        <v>180000</v>
      </c>
      <c r="F62" t="n">
        <v>2</v>
      </c>
      <c r="G62" t="n">
        <v>0</v>
      </c>
      <c r="H62" s="2">
        <f>(E62-D62)*G62</f>
        <v/>
      </c>
      <c r="I62" s="2">
        <f>D62*F62</f>
        <v/>
      </c>
      <c r="J62" t="n">
        <v>0</v>
      </c>
    </row>
    <row r="63">
      <c r="A63" t="inlineStr">
        <is>
          <t>MJKH1J</t>
        </is>
      </c>
      <c r="B63" t="inlineStr">
        <is>
          <t>Film de fusor Samsung</t>
        </is>
      </c>
      <c r="C63" t="inlineStr">
        <is>
          <t>ML 4510 4512 4580 4583 5010 5012 5015, CLP 615 620 670, SL M4580, CLX 8380</t>
        </is>
      </c>
      <c r="D63" s="2" t="n">
        <v>0</v>
      </c>
      <c r="E63" s="2" t="n">
        <v>350000</v>
      </c>
      <c r="F63" t="n">
        <v>2</v>
      </c>
      <c r="G63" t="n">
        <v>0</v>
      </c>
      <c r="H63" s="2">
        <f>(E63-D63)*G63</f>
        <v/>
      </c>
      <c r="I63" s="2">
        <f>D63*F63</f>
        <v/>
      </c>
      <c r="J63" t="n">
        <v>0</v>
      </c>
    </row>
    <row r="64">
      <c r="A64" t="inlineStr">
        <is>
          <t>Y5LR9J</t>
        </is>
      </c>
      <c r="B64" t="inlineStr">
        <is>
          <t>Film de fusor Brother</t>
        </is>
      </c>
      <c r="C64" t="inlineStr">
        <is>
          <t>HL L5000 L5100 L5200, DCP L5500 5580 5585 5590 L5600 L5650 8150 8155, MFC L5700 L5750 L5755 L5800 L5850 L5900 L6200 L6250 L6300 L6400 L6700 L6750 L6800 L6900 8530 8535 8540</t>
        </is>
      </c>
      <c r="D64" s="2" t="n">
        <v>0</v>
      </c>
      <c r="E64" s="2" t="n">
        <v>150000</v>
      </c>
      <c r="F64" t="n">
        <v>0</v>
      </c>
      <c r="G64" t="n">
        <v>0</v>
      </c>
      <c r="H64" s="2">
        <f>(E64-D64)*G64</f>
        <v/>
      </c>
      <c r="I64" s="2">
        <f>D64*F64</f>
        <v/>
      </c>
      <c r="J64" t="n">
        <v>0</v>
      </c>
    </row>
    <row r="65">
      <c r="A65" t="inlineStr">
        <is>
          <t>0RR43W</t>
        </is>
      </c>
      <c r="B65" t="inlineStr">
        <is>
          <t>Film de fusor negro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15000</v>
      </c>
      <c r="E65" s="2" t="n">
        <v>100000</v>
      </c>
      <c r="F65" t="n">
        <v>49</v>
      </c>
      <c r="G65" t="n">
        <v>64</v>
      </c>
      <c r="H65" s="2">
        <f>(E65-D65)*G65</f>
        <v/>
      </c>
      <c r="I65" s="2">
        <f>D65*F65</f>
        <v/>
      </c>
      <c r="J65" t="n">
        <v>735000</v>
      </c>
    </row>
    <row r="66">
      <c r="A66" t="inlineStr">
        <is>
          <t>PC1FA4</t>
        </is>
      </c>
      <c r="B66" t="inlineStr">
        <is>
          <t>Film de fusor amarillo HP</t>
        </is>
      </c>
      <c r="C66"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6" s="2" t="n">
        <v>10000</v>
      </c>
      <c r="E66" s="2" t="n">
        <v>70000</v>
      </c>
      <c r="F66" t="n">
        <v>0</v>
      </c>
      <c r="G66" t="n">
        <v>12</v>
      </c>
      <c r="H66" s="2">
        <f>(E66-D66)*G66</f>
        <v/>
      </c>
      <c r="I66" s="2">
        <f>D66*F66</f>
        <v/>
      </c>
      <c r="J66" t="n">
        <v>0</v>
      </c>
    </row>
    <row r="67">
      <c r="A67" t="inlineStr">
        <is>
          <t>QZMWMK</t>
        </is>
      </c>
      <c r="B67" t="inlineStr">
        <is>
          <t>Film de fusor del medio HP/CANON</t>
        </is>
      </c>
      <c r="C67" t="inlineStr">
        <is>
          <t>HP M252 M277 M377 M477 M452 M454 M455 M479, Canon MF 732 734 735</t>
        </is>
      </c>
      <c r="D67" s="2" t="n">
        <v>40000</v>
      </c>
      <c r="E67" s="2" t="n">
        <v>150000</v>
      </c>
      <c r="F67" t="n">
        <v>10</v>
      </c>
      <c r="G67" t="n">
        <v>3</v>
      </c>
      <c r="H67" s="2">
        <f>(E67-D67)*G67</f>
        <v/>
      </c>
      <c r="I67" s="2">
        <f>D67*F67</f>
        <v/>
      </c>
      <c r="J67" t="n">
        <v>400000</v>
      </c>
    </row>
    <row r="68">
      <c r="A68" t="inlineStr">
        <is>
          <t>EUG3NX</t>
        </is>
      </c>
      <c r="B68" t="inlineStr">
        <is>
          <t>Film de fusor inferior HP/CANON</t>
        </is>
      </c>
      <c r="C68" t="inlineStr">
        <is>
          <t>HP M252 M277 M377 M477 M452 M454 M455 M479, Canon MF 732 734 735</t>
        </is>
      </c>
      <c r="D68" s="2" t="n">
        <v>40000</v>
      </c>
      <c r="E68" s="2" t="n">
        <v>150000</v>
      </c>
      <c r="F68" t="n">
        <v>3</v>
      </c>
      <c r="G68" t="n">
        <v>4</v>
      </c>
      <c r="H68" s="2">
        <f>(E68-D68)*G68</f>
        <v/>
      </c>
      <c r="I68" s="2">
        <f>D68*F68</f>
        <v/>
      </c>
      <c r="J68" t="n">
        <v>120000</v>
      </c>
    </row>
    <row r="69">
      <c r="A69" t="inlineStr">
        <is>
          <t>86KYC8</t>
        </is>
      </c>
      <c r="B69" t="inlineStr">
        <is>
          <t>Film de fusor Ricoh</t>
        </is>
      </c>
      <c r="C69" t="inlineStr">
        <is>
          <t>MPC 2000 2500 2800 3000 3300 3500 4500, SP810</t>
        </is>
      </c>
      <c r="D69" s="2" t="n">
        <v>375000</v>
      </c>
      <c r="E69" s="2" t="n">
        <v>650000</v>
      </c>
      <c r="F69" t="n">
        <v>1</v>
      </c>
      <c r="G69" t="n">
        <v>0</v>
      </c>
      <c r="H69" s="2">
        <f>(E69-D69)*G69</f>
        <v/>
      </c>
      <c r="I69" s="2">
        <f>D69*F69</f>
        <v/>
      </c>
      <c r="J69" t="n">
        <v>375000</v>
      </c>
    </row>
    <row r="70">
      <c r="A70" t="inlineStr">
        <is>
          <t>XNFKAQ</t>
        </is>
      </c>
      <c r="B70" t="inlineStr">
        <is>
          <t>Film de fusor HP</t>
        </is>
      </c>
      <c r="C70" t="inlineStr">
        <is>
          <t>1600 2600 2605, CP1025 CP1215 CP1515 CP1518 CP1525 CP2025, M175 M176 M177 M275 M276 M351 M375 M451 M475 M476, CM1015 CM1017 CM1415 CM1312 CM2320</t>
        </is>
      </c>
      <c r="D70" s="2" t="n">
        <v>50000</v>
      </c>
      <c r="E70" s="2" t="n">
        <v>150000</v>
      </c>
      <c r="F70" t="n">
        <v>9</v>
      </c>
      <c r="G70" t="n">
        <v>0</v>
      </c>
      <c r="H70" s="2">
        <f>(E70-D70)*G70</f>
        <v/>
      </c>
      <c r="I70" s="2">
        <f>D70*F70</f>
        <v/>
      </c>
      <c r="J70" t="n">
        <v>450000</v>
      </c>
    </row>
    <row r="71">
      <c r="A71" t="inlineStr">
        <is>
          <t>T2DX9Z</t>
        </is>
      </c>
      <c r="B71" t="inlineStr">
        <is>
          <t>Goma de rodillo de papel para Samsung</t>
        </is>
      </c>
      <c r="C71" t="inlineStr">
        <is>
          <t>CLX 2160 3160, CLP 300 350, ML 1610 1615 1640 1641 2010 2015 2240 2241 2245, SCX 4321 4521, XP 3117 3122 3124 6110, X WC PE220</t>
        </is>
      </c>
      <c r="D71" s="2" t="n">
        <v>0</v>
      </c>
      <c r="E71" s="2" t="n">
        <v>50000</v>
      </c>
      <c r="F71" t="n">
        <v>8</v>
      </c>
      <c r="G71" t="n">
        <v>0</v>
      </c>
      <c r="H71" s="2">
        <f>(E71-D71)*G71</f>
        <v/>
      </c>
      <c r="I71" s="2">
        <f>D71*F71</f>
        <v/>
      </c>
      <c r="J71" t="n">
        <v>0</v>
      </c>
    </row>
    <row r="72">
      <c r="A72" t="inlineStr">
        <is>
          <t>FTQ2MN</t>
        </is>
      </c>
      <c r="B72" t="inlineStr">
        <is>
          <t>Grasa para fusor</t>
        </is>
      </c>
      <c r="C72" t="inlineStr">
        <is>
          <t>20gr</t>
        </is>
      </c>
      <c r="D72" s="2" t="n">
        <v>20000</v>
      </c>
      <c r="E72" s="2" t="n">
        <v>75000</v>
      </c>
      <c r="F72" t="n">
        <v>4</v>
      </c>
      <c r="G72" t="n">
        <v>5</v>
      </c>
      <c r="H72" s="2">
        <f>(E72-D72)*G72</f>
        <v/>
      </c>
      <c r="I72" s="2">
        <f>D72*F72</f>
        <v/>
      </c>
      <c r="J72" t="n">
        <v>80000</v>
      </c>
    </row>
    <row r="73">
      <c r="A73" t="inlineStr">
        <is>
          <t>AOYH13</t>
        </is>
      </c>
      <c r="B73" t="inlineStr">
        <is>
          <t>Grasa para fusor</t>
        </is>
      </c>
      <c r="C73" t="inlineStr">
        <is>
          <t>15gr</t>
        </is>
      </c>
      <c r="D73" s="2" t="n">
        <v>0</v>
      </c>
      <c r="E73" s="2" t="n">
        <v>75000</v>
      </c>
      <c r="F73" t="n">
        <v>0</v>
      </c>
      <c r="G73" t="n">
        <v>5</v>
      </c>
      <c r="H73" s="2">
        <f>(E73-D73)*G73</f>
        <v/>
      </c>
      <c r="I73" s="2">
        <f>D73*F73</f>
        <v/>
      </c>
      <c r="J73" t="n">
        <v>0</v>
      </c>
    </row>
    <row r="74">
      <c r="A74" t="inlineStr">
        <is>
          <t>M2IJF1</t>
        </is>
      </c>
      <c r="B74" t="inlineStr">
        <is>
          <t>Grasa para fusor HP Original</t>
        </is>
      </c>
      <c r="D74" s="2" t="n">
        <v>0</v>
      </c>
      <c r="E74" s="2" t="n">
        <v>150000</v>
      </c>
      <c r="F74" t="n">
        <v>1</v>
      </c>
      <c r="G74" t="n">
        <v>9</v>
      </c>
      <c r="H74" s="2">
        <f>(E74-D74)*G74</f>
        <v/>
      </c>
      <c r="I74" s="2">
        <f>D74*F74</f>
        <v/>
      </c>
      <c r="J74" t="n">
        <v>0</v>
      </c>
    </row>
    <row r="75">
      <c r="A75" t="inlineStr">
        <is>
          <t>QHYH50</t>
        </is>
      </c>
      <c r="B75" t="inlineStr">
        <is>
          <t>Guantes con luz led</t>
        </is>
      </c>
      <c r="D75" s="2" t="n">
        <v>0</v>
      </c>
      <c r="E75" s="2" t="n">
        <v>100000</v>
      </c>
      <c r="F75" t="n">
        <v>9</v>
      </c>
      <c r="G75" t="n">
        <v>0</v>
      </c>
      <c r="H75" s="2">
        <f>(E75-D75)*G75</f>
        <v/>
      </c>
      <c r="I75" s="2">
        <f>D75*F75</f>
        <v/>
      </c>
      <c r="J75" t="n">
        <v>0</v>
      </c>
    </row>
    <row r="76">
      <c r="A76" t="inlineStr">
        <is>
          <t>H1R39U</t>
        </is>
      </c>
      <c r="B76" t="inlineStr">
        <is>
          <t>Goma separador de bandeja Samsung</t>
        </is>
      </c>
      <c r="D76" s="2" t="n">
        <v>0</v>
      </c>
      <c r="E76" s="2" t="n">
        <v>10000</v>
      </c>
      <c r="F76" t="n">
        <v>72</v>
      </c>
      <c r="G76" t="n">
        <v>0</v>
      </c>
      <c r="H76" s="2">
        <f>(E76-D76)*G76</f>
        <v/>
      </c>
      <c r="I76" s="2">
        <f>D76*F76</f>
        <v/>
      </c>
      <c r="J76" t="n">
        <v>0</v>
      </c>
    </row>
    <row r="77">
      <c r="A77" t="inlineStr">
        <is>
          <t>AVWLLD</t>
        </is>
      </c>
      <c r="B77" t="inlineStr">
        <is>
          <t>Kit Reparo de placa Epson</t>
        </is>
      </c>
      <c r="C77" t="inlineStr">
        <is>
          <t>E09A92GA + Transistores C6144  y A2222</t>
        </is>
      </c>
      <c r="D77" s="2" t="n">
        <v>0</v>
      </c>
      <c r="E77" s="2" t="n">
        <v>100000</v>
      </c>
      <c r="F77" t="n">
        <v>19</v>
      </c>
      <c r="G77" t="n">
        <v>0</v>
      </c>
      <c r="H77" s="2">
        <f>(E77-D77)*G77</f>
        <v/>
      </c>
      <c r="I77" s="2">
        <f>D77*F77</f>
        <v/>
      </c>
      <c r="J77" t="n">
        <v>0</v>
      </c>
    </row>
    <row r="78">
      <c r="A78" t="inlineStr">
        <is>
          <t>9MXYL2</t>
        </is>
      </c>
      <c r="B78" t="inlineStr">
        <is>
          <t>Luz led romantica</t>
        </is>
      </c>
      <c r="D78" s="2" t="n">
        <v>30000</v>
      </c>
      <c r="E78" s="2" t="n">
        <v>130000</v>
      </c>
      <c r="F78" t="n">
        <v>4</v>
      </c>
      <c r="G78" t="n">
        <v>4</v>
      </c>
      <c r="H78" s="2">
        <f>(E78-D78)*G78</f>
        <v/>
      </c>
      <c r="I78" s="2">
        <f>D78*F78</f>
        <v/>
      </c>
      <c r="J78" t="n">
        <v>120000</v>
      </c>
    </row>
    <row r="79">
      <c r="A79" t="inlineStr">
        <is>
          <t>8RLBN2</t>
        </is>
      </c>
      <c r="B79" t="inlineStr">
        <is>
          <t>Led con base 3 volt</t>
        </is>
      </c>
      <c r="D79" s="2" t="n">
        <v>2500</v>
      </c>
      <c r="E79" s="2" t="n">
        <v>7000</v>
      </c>
      <c r="F79" t="n">
        <v>197</v>
      </c>
      <c r="G79" t="n">
        <v>53</v>
      </c>
      <c r="H79" s="2">
        <f>(E79-D79)*G79</f>
        <v/>
      </c>
      <c r="I79" s="2">
        <f>D79*F79</f>
        <v/>
      </c>
      <c r="J79" t="n">
        <v>492500</v>
      </c>
    </row>
    <row r="80">
      <c r="A80" t="inlineStr">
        <is>
          <t>94EXRO</t>
        </is>
      </c>
      <c r="B80" t="inlineStr">
        <is>
          <t>Led con base 6 volt</t>
        </is>
      </c>
      <c r="D80" s="2" t="n">
        <v>2500</v>
      </c>
      <c r="E80" s="2" t="n">
        <v>7000</v>
      </c>
      <c r="F80" t="n">
        <v>84</v>
      </c>
      <c r="G80" t="n">
        <v>16</v>
      </c>
      <c r="H80" s="2">
        <f>(E80-D80)*G80</f>
        <v/>
      </c>
      <c r="I80" s="2">
        <f>D80*F80</f>
        <v/>
      </c>
      <c r="J80" t="n">
        <v>210000</v>
      </c>
    </row>
    <row r="81">
      <c r="A81" t="inlineStr">
        <is>
          <t>JZT1M4</t>
        </is>
      </c>
      <c r="B81" t="inlineStr">
        <is>
          <t>Motor para contador de billetes</t>
        </is>
      </c>
      <c r="C81" t="inlineStr">
        <is>
          <t>9V 110Rpm</t>
        </is>
      </c>
      <c r="D81" s="2" t="n">
        <v>0</v>
      </c>
      <c r="E81" s="2" t="n">
        <v>180000</v>
      </c>
      <c r="F81" t="n">
        <v>2</v>
      </c>
      <c r="G81" t="n">
        <v>2</v>
      </c>
      <c r="H81" s="2">
        <f>(E81-D81)*G81</f>
        <v/>
      </c>
      <c r="I81" s="2">
        <f>D81*F81</f>
        <v/>
      </c>
      <c r="J81" t="n">
        <v>0</v>
      </c>
    </row>
    <row r="82">
      <c r="A82" t="inlineStr">
        <is>
          <t>0R6098</t>
        </is>
      </c>
      <c r="B82" t="inlineStr">
        <is>
          <t>Rodillo de alimentación y separación Epson</t>
        </is>
      </c>
      <c r="C82" t="inlineStr">
        <is>
          <t>L1110 L1118 L1119 L1250 L3100 L3106 L3108 L3110 L3115 L3116 L3117 L3118 L3119 L3150 L3151 L3153 L3156 L3158 L3160 L3161 L3163 L3210 L3250 L4150 L4158 L4160 L4168 L4170 L4260 L5190 L6178</t>
        </is>
      </c>
      <c r="D82" s="2" t="n">
        <v>0</v>
      </c>
      <c r="E82" s="2" t="n">
        <v>150000</v>
      </c>
      <c r="F82" t="n">
        <v>5</v>
      </c>
      <c r="G82" t="n">
        <v>4</v>
      </c>
      <c r="H82" s="2">
        <f>(E82-D82)*G82</f>
        <v/>
      </c>
      <c r="I82" s="2">
        <f>D82*F82</f>
        <v/>
      </c>
      <c r="J82" t="n">
        <v>0</v>
      </c>
    </row>
    <row r="83">
      <c r="A83" t="inlineStr">
        <is>
          <t>3VAPLP</t>
        </is>
      </c>
      <c r="B83" t="inlineStr">
        <is>
          <t>Rodillo de separación Epson</t>
        </is>
      </c>
      <c r="C83" t="inlineStr">
        <is>
          <t>L1110 L1118 L1119 L1250 L3100 L3106 L3108 L3110 L3115 L3116 L3117 L3118 L3119 L3150 L3151 L3153 L3156 L3158 L3160 L3161 L3163 L3210 L3250 L4150 L4158 L4160 L4168 L4170 L4260 L5190 L6178</t>
        </is>
      </c>
      <c r="D83" s="2" t="n">
        <v>0</v>
      </c>
      <c r="E83" s="2" t="n">
        <v>100000</v>
      </c>
      <c r="F83" t="n">
        <v>1</v>
      </c>
      <c r="G83" t="n">
        <v>6</v>
      </c>
      <c r="H83" s="2">
        <f>(E83-D83)*G83</f>
        <v/>
      </c>
      <c r="I83" s="2">
        <f>D83*F83</f>
        <v/>
      </c>
      <c r="J83" t="n">
        <v>0</v>
      </c>
    </row>
    <row r="84">
      <c r="A84" t="inlineStr">
        <is>
          <t>CUFR7F</t>
        </is>
      </c>
      <c r="B84" t="inlineStr">
        <is>
          <t>Rodillo de recogida de papel RM1-1497-000 para HP</t>
        </is>
      </c>
      <c r="C84" t="inlineStr">
        <is>
          <t>P1500 P1505 P1560 P1566 P1600 P1606 M1120 M1522 M1530 M1536 MF211 MF212 MF215 MF216 MF217 MF221 MF222 MF223 MF224 MF226 MF227 MF229 MF236 MF237 MF244 MF247 MF249</t>
        </is>
      </c>
      <c r="D84" s="2" t="n">
        <v>6500</v>
      </c>
      <c r="E84" s="2" t="n">
        <v>50000</v>
      </c>
      <c r="F84" t="n">
        <v>9</v>
      </c>
      <c r="G84" t="n">
        <v>0</v>
      </c>
      <c r="H84" s="2">
        <f>(E84-D84)*G84</f>
        <v/>
      </c>
      <c r="I84" s="2">
        <f>D84*F84</f>
        <v/>
      </c>
      <c r="J84" t="n">
        <v>58500</v>
      </c>
    </row>
    <row r="85">
      <c r="A85" t="inlineStr">
        <is>
          <t>EKSN87</t>
        </is>
      </c>
      <c r="B85" t="inlineStr">
        <is>
          <t>Rodillo de recogida de papel RL1-1442-000 para HP</t>
        </is>
      </c>
      <c r="C85" t="inlineStr">
        <is>
          <t>P1005 P1006 P1007 P1008 P1009 P1106 P1108 P1102 P1106 CP1025 M102 M175 M176 M1132 M1136 M1212 M1213 M1214 M1216 M1217</t>
        </is>
      </c>
      <c r="D85" s="2" t="n">
        <v>6500</v>
      </c>
      <c r="E85" s="2" t="n">
        <v>50000</v>
      </c>
      <c r="F85" t="n">
        <v>35</v>
      </c>
      <c r="G85" t="n">
        <v>31</v>
      </c>
      <c r="H85" s="2">
        <f>(E85-D85)*G85</f>
        <v/>
      </c>
      <c r="I85" s="2">
        <f>D85*F85</f>
        <v/>
      </c>
      <c r="J85" t="n">
        <v>227500</v>
      </c>
    </row>
    <row r="86">
      <c r="A86" t="inlineStr">
        <is>
          <t>GJ4F48</t>
        </is>
      </c>
      <c r="B86" t="inlineStr">
        <is>
          <t>Rodillo de entrega de papel de cubierta superior de fusor para HP</t>
        </is>
      </c>
      <c r="C86" t="inlineStr">
        <is>
          <t>M101 M102 M103 M104 M106 M129 M130 M131 M132 M133 M134 M203 M227 M230</t>
        </is>
      </c>
      <c r="D86" s="2" t="n">
        <v>0</v>
      </c>
      <c r="E86" s="2" t="n">
        <v>50000</v>
      </c>
      <c r="F86" t="n">
        <v>8</v>
      </c>
      <c r="G86" t="n">
        <v>0</v>
      </c>
      <c r="H86" s="2">
        <f>(E86-D86)*G86</f>
        <v/>
      </c>
      <c r="I86" s="2">
        <f>D86*F86</f>
        <v/>
      </c>
      <c r="J8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2026-02-08T01:19:55Z</dcterms:created>
  <dcterms:modified xsi:type="dcterms:W3CDTF">2026-02-08T01:19:55Z</dcterms:modified>
</cp:coreProperties>
</file>